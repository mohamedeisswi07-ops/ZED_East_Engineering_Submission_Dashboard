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ohamed.essawi\Downloads\"/>
    </mc:Choice>
  </mc:AlternateContent>
  <xr:revisionPtr revIDLastSave="0" documentId="13_ncr:1_{44B78E88-9A08-4B81-BFC1-3651CDA39C62}" xr6:coauthVersionLast="47" xr6:coauthVersionMax="47" xr10:uidLastSave="{00000000-0000-0000-0000-000000000000}"/>
  <bookViews>
    <workbookView xWindow="-28920" yWindow="-900" windowWidth="29040" windowHeight="15720" xr2:uid="{1803378A-905A-46F6-AE87-B49640E0EB03}"/>
  </bookViews>
  <sheets>
    <sheet name="Matrix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Y12" i="12" l="1"/>
  <c r="Z12" i="12"/>
  <c r="AA12" i="12"/>
  <c r="AB12" i="12"/>
  <c r="AC12" i="12"/>
  <c r="AD12" i="12"/>
  <c r="AE12" i="12"/>
  <c r="AF12" i="12"/>
  <c r="AG12" i="12"/>
  <c r="AH12" i="12"/>
  <c r="AI12" i="12"/>
  <c r="AJ12" i="12"/>
  <c r="AK12" i="12"/>
  <c r="U12" i="12"/>
  <c r="V12" i="12"/>
  <c r="W12" i="12"/>
  <c r="X12" i="12"/>
  <c r="T12" i="12"/>
  <c r="AH11" i="12"/>
  <c r="AI11" i="12"/>
  <c r="AJ11" i="12"/>
  <c r="AK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U11" i="12"/>
  <c r="T11" i="12"/>
  <c r="C39" i="12"/>
  <c r="D39" i="12"/>
  <c r="E39" i="12"/>
  <c r="F39" i="12"/>
  <c r="G39" i="12"/>
  <c r="H39" i="12"/>
  <c r="I39" i="12"/>
  <c r="J39" i="12"/>
  <c r="K39" i="12"/>
  <c r="L39" i="12"/>
  <c r="M39" i="12"/>
  <c r="N39" i="12"/>
  <c r="O39" i="12"/>
  <c r="P39" i="12"/>
  <c r="Q39" i="12"/>
  <c r="B39" i="12"/>
  <c r="C40" i="12" l="1"/>
  <c r="D40" i="12"/>
  <c r="E40" i="12"/>
  <c r="F40" i="12"/>
  <c r="G40" i="12"/>
  <c r="H40" i="12"/>
  <c r="I40" i="12"/>
  <c r="J40" i="12"/>
  <c r="K40" i="12"/>
  <c r="L40" i="12"/>
  <c r="N40" i="12"/>
  <c r="O40" i="12"/>
  <c r="P40" i="12"/>
  <c r="B40" i="12"/>
  <c r="M40" i="12"/>
  <c r="Q40" i="12"/>
</calcChain>
</file>

<file path=xl/sharedStrings.xml><?xml version="1.0" encoding="utf-8"?>
<sst xmlns="http://schemas.openxmlformats.org/spreadsheetml/2006/main" count="635" uniqueCount="82">
  <si>
    <t>Approved</t>
  </si>
  <si>
    <t>Resubmit</t>
  </si>
  <si>
    <t>Under Review</t>
  </si>
  <si>
    <t>Not Submitted</t>
  </si>
  <si>
    <t>Engineering Drawings Status
ZED East Project</t>
  </si>
  <si>
    <t>Data Date</t>
  </si>
  <si>
    <t>Parking</t>
  </si>
  <si>
    <t>Z1,P1(W)</t>
  </si>
  <si>
    <t>Formwork</t>
  </si>
  <si>
    <t>Columns</t>
  </si>
  <si>
    <t>PC</t>
  </si>
  <si>
    <t>RC</t>
  </si>
  <si>
    <t>Slab</t>
  </si>
  <si>
    <t>Slab On Grades</t>
  </si>
  <si>
    <t>Rebar</t>
  </si>
  <si>
    <t>Isolated footing</t>
  </si>
  <si>
    <t>Ground Beam</t>
  </si>
  <si>
    <t>Rebar Of sumpits</t>
  </si>
  <si>
    <t>Z1,P2(N)</t>
  </si>
  <si>
    <t>Z1,P3(L)</t>
  </si>
  <si>
    <t>Strip Footing</t>
  </si>
  <si>
    <t>Retaining Walls</t>
  </si>
  <si>
    <t>Z1,P4( C)</t>
  </si>
  <si>
    <t>Z1,P5( E)</t>
  </si>
  <si>
    <t>Z1,P6(X)</t>
  </si>
  <si>
    <t>Z1,P7(G)</t>
  </si>
  <si>
    <t>Z1,P8(Y)</t>
  </si>
  <si>
    <t>Z1,P9(M)</t>
  </si>
  <si>
    <t>Z1,P10(EE)</t>
  </si>
  <si>
    <t>Z2,P1(H)</t>
  </si>
  <si>
    <t>Z2,P2(V)</t>
  </si>
  <si>
    <t>Z2,P3(I)</t>
  </si>
  <si>
    <t>Z2,P4(T)</t>
  </si>
  <si>
    <t>Z2,P5(U)</t>
  </si>
  <si>
    <t>Z2,P6(F)</t>
  </si>
  <si>
    <t>Z2,P7(O)</t>
  </si>
  <si>
    <t>Z2,P8(BB)</t>
  </si>
  <si>
    <t>Z2,P9(CC)</t>
  </si>
  <si>
    <t>Z2,P10(B)</t>
  </si>
  <si>
    <t>Z3,P1(A)</t>
  </si>
  <si>
    <t>Z3,P2(DD)</t>
  </si>
  <si>
    <t>Z3,P3(P)</t>
  </si>
  <si>
    <t>Z3,P4(K)</t>
  </si>
  <si>
    <t>Z3,P5(D)</t>
  </si>
  <si>
    <t>Z3,P6(S)</t>
  </si>
  <si>
    <t>Z3,P7(Q)</t>
  </si>
  <si>
    <t>Z3,P8( R)</t>
  </si>
  <si>
    <t>Z3,P9(AA)</t>
  </si>
  <si>
    <t>Z3,P10(Z)</t>
  </si>
  <si>
    <t>Z3,P11(J)</t>
  </si>
  <si>
    <t>Z1,All Parts</t>
  </si>
  <si>
    <t>Z2,All Parts</t>
  </si>
  <si>
    <t>Z3,All Parts</t>
  </si>
  <si>
    <t>ECSD System</t>
  </si>
  <si>
    <t>HVAC</t>
  </si>
  <si>
    <t>Water Supply</t>
  </si>
  <si>
    <t>Firefighting</t>
  </si>
  <si>
    <t>Structural</t>
  </si>
  <si>
    <t>MEP</t>
  </si>
  <si>
    <t>Post Tension</t>
  </si>
  <si>
    <t>Mechanical</t>
  </si>
  <si>
    <t>Electrical</t>
  </si>
  <si>
    <t>Area/Item</t>
  </si>
  <si>
    <t>Beam</t>
  </si>
  <si>
    <t>P.T
Design</t>
  </si>
  <si>
    <t>P.T
Shop
drawing</t>
  </si>
  <si>
    <t>Drainage
High-Level</t>
  </si>
  <si>
    <t>Drainage
Low-Level</t>
  </si>
  <si>
    <t>Lighting System</t>
  </si>
  <si>
    <t>Power System</t>
  </si>
  <si>
    <t>Power HVAC System</t>
  </si>
  <si>
    <t>Cable Routing System</t>
  </si>
  <si>
    <t>Panel Board Schedule</t>
  </si>
  <si>
    <t>MCC System</t>
  </si>
  <si>
    <t>Earthing System</t>
  </si>
  <si>
    <t>Fire Alarm System</t>
  </si>
  <si>
    <t>Structure Cabling System</t>
  </si>
  <si>
    <t>CCTV System</t>
  </si>
  <si>
    <t>Access Control System</t>
  </si>
  <si>
    <t>Service Provider System</t>
  </si>
  <si>
    <t>No. of Submissions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</si>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</sst>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[$-409]d\-mmm\-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0"/>
      <name val="Aptos"/>
      <family val="2"/>
    </font>
    <font>
      <b/>
      <u val="double"/>
      <sz val="11"/>
      <color theme="1"/>
      <name val="Aptos"/>
      <family val="2"/>
    </font>
    <font>
      <b/>
      <sz val="11"/>
      <color theme="1"/>
      <name val="Aptos"/>
      <family val="2"/>
    </font>
    <font>
      <sz val="12"/>
      <color theme="1"/>
      <name val="Aptos"/>
      <family val="2"/>
    </font>
    <font>
      <i/>
      <u/>
      <sz val="12"/>
      <color rgb="FFFF0000"/>
      <name val="Aptos"/>
      <family val="2"/>
    </font>
    <font>
      <i/>
      <sz val="11"/>
      <color theme="0"/>
      <name val="Aptos"/>
      <family val="2"/>
    </font>
    <font>
      <sz val="12"/>
      <color theme="0"/>
      <name val="Aptos"/>
      <family val="2"/>
    </font>
    <font>
      <b/>
      <sz val="11"/>
      <color rgb="FFFF0000"/>
      <name val="Aptos"/>
      <family val="2"/>
    </font>
    <font>
      <sz val="11"/>
      <color rgb="FFFF0000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88000"/>
        <bgColor indexed="64"/>
      </patternFill>
    </fill>
    <fill>
      <patternFill patternType="solid">
        <fgColor rgb="FF7E6000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theme="1"/>
      </left>
      <right style="thin">
        <color rgb="FFFFFFFF"/>
      </right>
      <top style="thin">
        <color rgb="FFFFFFFF"/>
      </top>
      <bottom style="medium">
        <color theme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medium">
        <color theme="1"/>
      </bottom>
      <diagonal/>
    </border>
    <border>
      <left style="medium">
        <color indexed="64"/>
      </left>
      <right style="thin">
        <color rgb="FFFFFFFF"/>
      </right>
      <top style="medium">
        <color indexed="64"/>
      </top>
      <bottom style="thin">
        <color rgb="FFFFFFFF"/>
      </bottom>
      <diagonal/>
    </border>
    <border>
      <left style="thin">
        <color rgb="FFFFFFFF"/>
      </left>
      <right style="medium">
        <color indexed="64"/>
      </right>
      <top style="medium">
        <color indexed="64"/>
      </top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 style="thin">
        <color rgb="FFFFFFFF"/>
      </left>
      <right style="medium">
        <color indexed="64"/>
      </right>
      <top style="thin">
        <color rgb="FFFFFFFF"/>
      </top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medium">
        <color indexed="6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8" fillId="8" borderId="19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4" borderId="22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 wrapText="1"/>
    </xf>
    <xf numFmtId="0" fontId="1" fillId="12" borderId="24" xfId="0" applyFont="1" applyFill="1" applyBorder="1" applyAlignment="1">
      <alignment horizontal="center" vertical="center" wrapText="1"/>
    </xf>
    <xf numFmtId="0" fontId="1" fillId="12" borderId="25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0" fontId="5" fillId="4" borderId="44" xfId="0" applyFont="1" applyFill="1" applyBorder="1" applyAlignment="1">
      <alignment horizontal="center" vertical="center" wrapText="1"/>
    </xf>
    <xf numFmtId="0" fontId="5" fillId="4" borderId="45" xfId="0" applyFont="1" applyFill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165" fontId="1" fillId="3" borderId="0" xfId="0" applyNumberFormat="1" applyFont="1" applyFill="1" applyAlignment="1">
      <alignment horizontal="center" vertical="center" wrapText="1"/>
    </xf>
    <xf numFmtId="0" fontId="8" fillId="9" borderId="46" xfId="0" applyFont="1" applyFill="1" applyBorder="1" applyAlignment="1">
      <alignment horizontal="center" vertical="center"/>
    </xf>
    <xf numFmtId="0" fontId="8" fillId="9" borderId="47" xfId="0" applyFont="1" applyFill="1" applyBorder="1" applyAlignment="1">
      <alignment horizontal="center" vertical="center"/>
    </xf>
    <xf numFmtId="0" fontId="8" fillId="9" borderId="41" xfId="0" applyFont="1" applyFill="1" applyBorder="1" applyAlignment="1">
      <alignment horizontal="center" vertical="center"/>
    </xf>
    <xf numFmtId="0" fontId="8" fillId="11" borderId="48" xfId="0" applyFont="1" applyFill="1" applyBorder="1" applyAlignment="1">
      <alignment horizontal="center"/>
    </xf>
    <xf numFmtId="0" fontId="8" fillId="11" borderId="42" xfId="0" applyFont="1" applyFill="1" applyBorder="1" applyAlignment="1">
      <alignment horizontal="center"/>
    </xf>
    <xf numFmtId="0" fontId="8" fillId="11" borderId="49" xfId="0" applyFont="1" applyFill="1" applyBorder="1" applyAlignment="1">
      <alignment horizontal="center"/>
    </xf>
    <xf numFmtId="0" fontId="7" fillId="8" borderId="4" xfId="0" applyFont="1" applyFill="1" applyBorder="1" applyAlignment="1">
      <alignment horizontal="center" vertical="center" wrapText="1"/>
    </xf>
    <xf numFmtId="0" fontId="7" fillId="8" borderId="50" xfId="0" applyFont="1" applyFill="1" applyBorder="1" applyAlignment="1">
      <alignment horizontal="center" vertical="center" wrapText="1"/>
    </xf>
    <xf numFmtId="0" fontId="7" fillId="8" borderId="51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vertical="center"/>
    </xf>
    <xf numFmtId="0" fontId="2" fillId="13" borderId="20" xfId="0" applyFont="1" applyFill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 wrapText="1"/>
    </xf>
    <xf numFmtId="0" fontId="7" fillId="8" borderId="17" xfId="0" applyFont="1" applyFill="1" applyBorder="1" applyAlignment="1">
      <alignment horizontal="center" vertical="center" wrapText="1"/>
    </xf>
    <xf numFmtId="0" fontId="7" fillId="8" borderId="18" xfId="0" applyFont="1" applyFill="1" applyBorder="1" applyAlignment="1">
      <alignment horizontal="center" vertical="center" wrapText="1"/>
    </xf>
    <xf numFmtId="0" fontId="8" fillId="9" borderId="11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/>
    </xf>
    <xf numFmtId="0" fontId="8" fillId="11" borderId="13" xfId="0" applyFont="1" applyFill="1" applyBorder="1" applyAlignment="1">
      <alignment horizontal="center"/>
    </xf>
  </cellXfs>
  <cellStyles count="1">
    <cellStyle name="Normal" xfId="0" builtinId="0"/>
  </cellStyles>
  <dxfs count="55">
    <dxf>
      <font>
        <color theme="0"/>
      </font>
      <fill>
        <patternFill>
          <bgColor rgb="FF00B050"/>
        </patternFill>
      </fill>
    </dxf>
    <dxf>
      <fill>
        <patternFill>
          <bgColor rgb="FFFFFFC1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ill>
        <patternFill>
          <bgColor rgb="FFFFFFC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2" tint="-0.499984740745262"/>
      </font>
      <fill>
        <patternFill>
          <bgColor theme="2" tint="-0.499984740745262"/>
        </patternFill>
      </fill>
    </dxf>
    <dxf>
      <fill>
        <patternFill>
          <bgColor rgb="FFFFC9C9"/>
        </patternFill>
      </fill>
    </dxf>
    <dxf>
      <fill>
        <patternFill>
          <bgColor rgb="FFFFFFC1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9C9"/>
        </patternFill>
      </fill>
    </dxf>
    <dxf>
      <fill>
        <patternFill>
          <bgColor rgb="FFFFFFC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C1"/>
        </patternFill>
      </fill>
    </dxf>
    <dxf>
      <fill>
        <patternFill>
          <bgColor rgb="FFFFC9C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C9C9"/>
        </patternFill>
      </fill>
    </dxf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C1"/>
        </patternFill>
      </fill>
    </dxf>
    <dxf>
      <fill>
        <patternFill>
          <bgColor rgb="FFFFFFC1"/>
        </patternFill>
      </fill>
    </dxf>
    <dxf>
      <fill>
        <patternFill>
          <bgColor rgb="FFFFC9C9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C1"/>
        </patternFill>
      </fill>
    </dxf>
    <dxf>
      <fill>
        <patternFill>
          <bgColor rgb="FFFFC9C9"/>
        </patternFill>
      </fill>
    </dxf>
    <dxf>
      <fill>
        <patternFill>
          <bgColor rgb="FFFFC9C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C1"/>
        </patternFill>
      </fill>
    </dxf>
    <dxf>
      <fill>
        <patternFill>
          <bgColor rgb="FFFFC9C9"/>
        </patternFill>
      </fill>
    </dxf>
    <dxf>
      <fill>
        <patternFill>
          <bgColor theme="0" tint="-4.9989318521683403E-2"/>
        </patternFill>
      </fill>
    </dxf>
    <dxf>
      <font>
        <color theme="2" tint="-0.499984740745262"/>
      </font>
      <fill>
        <patternFill>
          <bgColor theme="2" tint="-0.499984740745262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FFC1"/>
        </patternFill>
      </fill>
    </dxf>
    <dxf>
      <fill>
        <patternFill>
          <bgColor rgb="FFFFC9C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1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9C9"/>
        </patternFill>
      </fill>
    </dxf>
    <dxf>
      <fill>
        <patternFill>
          <bgColor rgb="FFFFFFC1"/>
        </patternFill>
      </fill>
    </dxf>
    <dxf>
      <fill>
        <patternFill>
          <bgColor rgb="FFFFFFC1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9C9"/>
        </patternFill>
      </fill>
    </dxf>
    <dxf>
      <fill>
        <patternFill>
          <bgColor theme="0" tint="-4.9989318521683403E-2"/>
        </patternFill>
      </fill>
    </dxf>
    <dxf>
      <fill>
        <patternFill>
          <bgColor rgb="FFFFFFC1"/>
        </patternFill>
      </fill>
    </dxf>
    <dxf>
      <fill>
        <patternFill>
          <bgColor rgb="FFFFC9C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theme="3" tint="0.89996032593768116"/>
        </patternFill>
      </fill>
    </dxf>
    <dxf>
      <font>
        <color theme="0"/>
      </font>
      <fill>
        <patternFill>
          <bgColor rgb="FF002060"/>
        </patternFill>
      </fill>
    </dxf>
  </dxfs>
  <tableStyles count="1" defaultTableStyle="TableStyleMedium2" defaultPivotStyle="PivotStyleLight16">
    <tableStyle name="Table Style 1" pivot="0" count="2" xr9:uid="{BC263185-6939-4910-8B86-28FD51A88875}">
      <tableStyleElement type="headerRow" dxfId="54"/>
      <tableStyleElement type="firstRowStripe" dxfId="53"/>
    </tableStyle>
  </tableStyles>
  <colors>
    <mruColors>
      <color rgb="FF7E6000"/>
      <color rgb="FFA88000"/>
      <color rgb="FFFFDA65"/>
      <color rgb="FFCDCDFF"/>
      <color rgb="FF3737FF"/>
      <color rgb="FFE1E1FF"/>
      <color rgb="FF000092"/>
      <color rgb="FFC8C8FC"/>
      <color rgb="FF7C7CF8"/>
      <color rgb="FF9191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137162</xdr:colOff>
      <xdr:row>1</xdr:row>
      <xdr:rowOff>20266</xdr:rowOff>
    </xdr:from>
    <xdr:to>
      <xdr:col>0</xdr:col>
      <xdr:colOff>647700</xdr:colOff>
      <xdr:row>2</xdr:row>
      <xdr:rowOff>121920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73F8D19-ABC1-448A-88D5-8BFE625B40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15" t="19584" r="14826" b="17502"/>
        <a:stretch>
          <a:fillRect/>
        </a:stretch>
      </xdr:blipFill>
      <xdr:spPr bwMode="auto">
        <a:xfrm>
          <a:off x="137162" y="20266"/>
          <a:ext cx="510538" cy="2845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638175</xdr:colOff>
      <xdr:row>1</xdr:row>
      <xdr:rowOff>94480</xdr:rowOff>
    </xdr:from>
    <xdr:to>
      <xdr:col>2</xdr:col>
      <xdr:colOff>408315</xdr:colOff>
      <xdr:row>2</xdr:row>
      <xdr:rowOff>106680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60A5CE55-721C-4694-B6C0-7858E09C58D5}"/>
            </a:ext>
            <a:ext uri="{147F2762-F138-4A5C-976F-8EAC2B608ADB}">
              <a16:predDERef xmlns:a16="http://schemas.microsoft.com/office/drawing/2014/main" pre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7335" y="277360"/>
          <a:ext cx="471180" cy="24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849631</xdr:colOff>
      <xdr:row>1</xdr:row>
      <xdr:rowOff>60271</xdr:rowOff>
    </xdr:from>
    <xdr:to>
      <xdr:col>1</xdr:col>
      <xdr:colOff>279819</xdr:colOff>
      <xdr:row>2</xdr:row>
      <xdr:rowOff>114300</xdr:rowOff>
    </xdr:to>
    <xdr:pic>
      <xdr:nvPicPr>
        <xdr:cNvPr id="4" name="Picture 6">
          <a:extLst>
            <a:ext uri="{FF2B5EF4-FFF2-40B4-BE49-F238E27FC236}">
              <a16:creationId xmlns:a16="http://schemas.microsoft.com/office/drawing/2014/main" id="{4433BCA4-41DC-4519-AB47-6ED1DB7D33D5}"/>
            </a:ext>
            <a:ext uri="{147F2762-F138-4A5C-976F-8EAC2B608ADB}">
              <a16:predDERef xmlns:a16="http://schemas.microsoft.com/office/drawing/2014/main" pred="{00000000-0008-0000-00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694" b="23310"/>
        <a:stretch>
          <a:fillRect/>
        </a:stretch>
      </xdr:blipFill>
      <xdr:spPr bwMode="auto">
        <a:xfrm>
          <a:off x="849631" y="243151"/>
          <a:ext cx="329348" cy="282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676276</xdr:colOff>
      <xdr:row>1</xdr:row>
      <xdr:rowOff>99060</xdr:rowOff>
    </xdr:from>
    <xdr:to>
      <xdr:col>3</xdr:col>
      <xdr:colOff>546570</xdr:colOff>
      <xdr:row>2</xdr:row>
      <xdr:rowOff>121920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A94612B-20EF-47B3-8ED1-70032CB549F7}"/>
            </a:ext>
            <a:ext uri="{147F2762-F138-4A5C-976F-8EAC2B608ADB}">
              <a16:predDERef xmlns:a16="http://schemas.microsoft.com/office/drawing/2014/main" pre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6" y="99060"/>
          <a:ext cx="548474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06F52-F687-4198-8F76-9BA80B1339D3}">
  <dimension ref="A2:AK40"/>
  <sheetViews>
    <sheetView tabSelected="1" workbookViewId="0">
      <pane ySplit="7" topLeftCell="A12" activePane="bottomLeft" state="frozen"/>
      <selection pane="bottomLeft" activeCell="N4" sqref="N4"/>
    </sheetView>
  </sheetViews>
  <sheetFormatPr defaultColWidth="8.77734375" defaultRowHeight="14.4" x14ac:dyDescent="0.3"/>
  <cols>
    <col min="1" max="1" width="11.77734375" style="2" bestFit="1" customWidth="1"/>
    <col min="2" max="2" width="9.21875" style="2" customWidth="1"/>
    <col min="3" max="11" width="8.77734375" style="2"/>
    <col min="12" max="12" width="9.44140625" style="2" customWidth="1"/>
    <col min="13" max="15" width="8.77734375" style="2"/>
    <col min="16" max="17" width="8.77734375" style="2" customWidth="1"/>
    <col min="18" max="18" width="8.77734375" style="2"/>
    <col min="19" max="19" width="11.109375" style="2" bestFit="1" customWidth="1"/>
    <col min="20" max="21" width="8.77734375" style="2"/>
    <col min="22" max="22" width="10.21875" style="2" customWidth="1"/>
    <col min="23" max="23" width="9.77734375" style="2" customWidth="1"/>
    <col min="24" max="24" width="10.77734375" style="2" customWidth="1"/>
    <col min="25" max="16384" width="8.77734375" style="2"/>
  </cols>
  <sheetData>
    <row r="2" spans="1:37" s="1" customFormat="1" ht="18" customHeight="1" x14ac:dyDescent="0.3">
      <c r="E2" s="54" t="s">
        <v>4</v>
      </c>
      <c r="F2" s="54"/>
      <c r="G2" s="54"/>
      <c r="H2" s="54"/>
      <c r="I2" s="54"/>
      <c r="L2" s="55" t="s">
        <v>5</v>
      </c>
      <c r="M2" s="55"/>
      <c r="N2" s="55">
        <v>46229</v>
      </c>
      <c r="O2" s="55"/>
    </row>
    <row r="3" spans="1:37" s="1" customFormat="1" ht="18" customHeight="1" x14ac:dyDescent="0.3">
      <c r="E3" s="54"/>
      <c r="F3" s="54"/>
      <c r="G3" s="54"/>
      <c r="H3" s="54"/>
      <c r="I3" s="54"/>
      <c r="L3" s="55"/>
      <c r="M3" s="55"/>
      <c r="N3" s="55"/>
      <c r="O3" s="55"/>
    </row>
    <row r="4" spans="1:37" s="1" customFormat="1" ht="18" customHeight="1" thickBot="1" x14ac:dyDescent="0.35"/>
    <row r="5" spans="1:37" s="1" customFormat="1" ht="15" thickBot="1" x14ac:dyDescent="0.35">
      <c r="A5" s="67" t="s">
        <v>57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9"/>
      <c r="S5" s="62" t="s">
        <v>58</v>
      </c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4"/>
    </row>
    <row r="6" spans="1:37" ht="18" customHeight="1" x14ac:dyDescent="0.3">
      <c r="A6" s="17" t="s">
        <v>6</v>
      </c>
      <c r="B6" s="70" t="s">
        <v>8</v>
      </c>
      <c r="C6" s="71"/>
      <c r="D6" s="71"/>
      <c r="E6" s="71"/>
      <c r="F6" s="71"/>
      <c r="G6" s="72" t="s">
        <v>14</v>
      </c>
      <c r="H6" s="72"/>
      <c r="I6" s="72"/>
      <c r="J6" s="72"/>
      <c r="K6" s="72"/>
      <c r="L6" s="72"/>
      <c r="M6" s="72"/>
      <c r="N6" s="72"/>
      <c r="O6" s="73"/>
      <c r="P6" s="65" t="s">
        <v>59</v>
      </c>
      <c r="Q6" s="66"/>
      <c r="S6" s="53" t="s">
        <v>6</v>
      </c>
      <c r="T6" s="56" t="s">
        <v>60</v>
      </c>
      <c r="U6" s="57"/>
      <c r="V6" s="57"/>
      <c r="W6" s="57"/>
      <c r="X6" s="58"/>
      <c r="Y6" s="59" t="s">
        <v>61</v>
      </c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1"/>
    </row>
    <row r="7" spans="1:37" ht="46.95" customHeight="1" thickBot="1" x14ac:dyDescent="0.35">
      <c r="A7" s="18" t="s">
        <v>62</v>
      </c>
      <c r="B7" s="19" t="s">
        <v>9</v>
      </c>
      <c r="C7" s="20" t="s">
        <v>10</v>
      </c>
      <c r="D7" s="20" t="s">
        <v>11</v>
      </c>
      <c r="E7" s="20" t="s">
        <v>12</v>
      </c>
      <c r="F7" s="20" t="s">
        <v>13</v>
      </c>
      <c r="G7" s="21" t="s">
        <v>15</v>
      </c>
      <c r="H7" s="21" t="s">
        <v>20</v>
      </c>
      <c r="I7" s="21" t="s">
        <v>16</v>
      </c>
      <c r="J7" s="21" t="s">
        <v>17</v>
      </c>
      <c r="K7" s="21" t="s">
        <v>9</v>
      </c>
      <c r="L7" s="21" t="s">
        <v>21</v>
      </c>
      <c r="M7" s="21" t="s">
        <v>12</v>
      </c>
      <c r="N7" s="21" t="s">
        <v>63</v>
      </c>
      <c r="O7" s="22" t="s">
        <v>13</v>
      </c>
      <c r="P7" s="47" t="s">
        <v>64</v>
      </c>
      <c r="Q7" s="48" t="s">
        <v>65</v>
      </c>
      <c r="S7" s="18" t="s">
        <v>62</v>
      </c>
      <c r="T7" s="19" t="s">
        <v>54</v>
      </c>
      <c r="U7" s="20" t="s">
        <v>55</v>
      </c>
      <c r="V7" s="20" t="s">
        <v>66</v>
      </c>
      <c r="W7" s="20" t="s">
        <v>67</v>
      </c>
      <c r="X7" s="50" t="s">
        <v>56</v>
      </c>
      <c r="Y7" s="51" t="s">
        <v>68</v>
      </c>
      <c r="Z7" s="21" t="s">
        <v>69</v>
      </c>
      <c r="AA7" s="21" t="s">
        <v>70</v>
      </c>
      <c r="AB7" s="21" t="s">
        <v>71</v>
      </c>
      <c r="AC7" s="21" t="s">
        <v>72</v>
      </c>
      <c r="AD7" s="21" t="s">
        <v>73</v>
      </c>
      <c r="AE7" s="21" t="s">
        <v>74</v>
      </c>
      <c r="AF7" s="21" t="s">
        <v>75</v>
      </c>
      <c r="AG7" s="22" t="s">
        <v>53</v>
      </c>
      <c r="AH7" s="22" t="s">
        <v>76</v>
      </c>
      <c r="AI7" s="22" t="s">
        <v>77</v>
      </c>
      <c r="AJ7" s="22" t="s">
        <v>78</v>
      </c>
      <c r="AK7" s="52" t="s">
        <v>79</v>
      </c>
    </row>
    <row r="8" spans="1:37" ht="43.2" x14ac:dyDescent="0.3">
      <c r="A8" s="8" t="s">
        <v>7</v>
      </c>
      <c r="B8" s="14" t="s">
        <v>0</v>
      </c>
      <c r="C8" s="15" t="s">
        <v>0</v>
      </c>
      <c r="D8" s="16" t="s">
        <v>0</v>
      </c>
      <c r="E8" s="15" t="s">
        <v>0</v>
      </c>
      <c r="F8" s="31" t="s">
        <v>3</v>
      </c>
      <c r="G8" s="33" t="s">
        <v>0</v>
      </c>
      <c r="H8" s="34" t="s">
        <v>0</v>
      </c>
      <c r="I8" s="34" t="s">
        <v>0</v>
      </c>
      <c r="J8" s="35" t="s">
        <v>0</v>
      </c>
      <c r="K8" s="34" t="s">
        <v>0</v>
      </c>
      <c r="L8" s="34" t="s">
        <v>0</v>
      </c>
      <c r="M8" s="35" t="s">
        <v>0</v>
      </c>
      <c r="N8" s="34" t="s">
        <v>0</v>
      </c>
      <c r="O8" s="36" t="s">
        <v>3</v>
      </c>
      <c r="P8" s="25" t="s">
        <v>0</v>
      </c>
      <c r="Q8" s="26" t="s">
        <v>0</v>
      </c>
      <c r="S8" s="8" t="s">
        <v>50</v>
      </c>
      <c r="T8" s="14" t="s">
        <v>3</v>
      </c>
      <c r="U8" s="15" t="s">
        <v>3</v>
      </c>
      <c r="V8" s="16" t="s">
        <v>1</v>
      </c>
      <c r="W8" s="15" t="s">
        <v>1</v>
      </c>
      <c r="X8" s="31" t="s">
        <v>3</v>
      </c>
      <c r="Y8" s="33" t="s">
        <v>0</v>
      </c>
      <c r="Z8" s="34" t="s">
        <v>0</v>
      </c>
      <c r="AA8" s="34" t="s">
        <v>0</v>
      </c>
      <c r="AB8" s="35" t="s">
        <v>1</v>
      </c>
      <c r="AC8" s="34" t="s">
        <v>3</v>
      </c>
      <c r="AD8" s="34" t="s">
        <v>3</v>
      </c>
      <c r="AE8" s="34" t="s">
        <v>3</v>
      </c>
      <c r="AF8" s="34" t="s">
        <v>3</v>
      </c>
      <c r="AG8" s="35" t="s">
        <v>1</v>
      </c>
      <c r="AH8" s="35" t="s">
        <v>0</v>
      </c>
      <c r="AI8" s="34" t="s">
        <v>3</v>
      </c>
      <c r="AJ8" s="34" t="s">
        <v>3</v>
      </c>
      <c r="AK8" s="26" t="s">
        <v>2</v>
      </c>
    </row>
    <row r="9" spans="1:37" ht="43.2" x14ac:dyDescent="0.3">
      <c r="A9" s="4" t="s">
        <v>18</v>
      </c>
      <c r="B9" s="9" t="s">
        <v>0</v>
      </c>
      <c r="C9" s="7" t="s">
        <v>0</v>
      </c>
      <c r="D9" s="6" t="s">
        <v>0</v>
      </c>
      <c r="E9" s="7" t="s">
        <v>0</v>
      </c>
      <c r="F9" s="24" t="s">
        <v>2</v>
      </c>
      <c r="G9" s="27" t="s">
        <v>0</v>
      </c>
      <c r="H9" s="7" t="s">
        <v>0</v>
      </c>
      <c r="I9" s="7" t="s">
        <v>0</v>
      </c>
      <c r="J9" s="6" t="s">
        <v>3</v>
      </c>
      <c r="K9" s="7" t="s">
        <v>0</v>
      </c>
      <c r="L9" s="6" t="s">
        <v>0</v>
      </c>
      <c r="M9" s="6" t="s">
        <v>0</v>
      </c>
      <c r="N9" s="7" t="s">
        <v>0</v>
      </c>
      <c r="O9" s="28" t="s">
        <v>3</v>
      </c>
      <c r="P9" s="27" t="s">
        <v>2</v>
      </c>
      <c r="Q9" s="28" t="s">
        <v>0</v>
      </c>
      <c r="S9" s="4" t="s">
        <v>51</v>
      </c>
      <c r="T9" s="9" t="s">
        <v>3</v>
      </c>
      <c r="U9" s="7" t="s">
        <v>3</v>
      </c>
      <c r="V9" s="6" t="s">
        <v>3</v>
      </c>
      <c r="W9" s="15" t="s">
        <v>1</v>
      </c>
      <c r="X9" s="31" t="s">
        <v>3</v>
      </c>
      <c r="Y9" s="27" t="s">
        <v>0</v>
      </c>
      <c r="Z9" s="7" t="s">
        <v>0</v>
      </c>
      <c r="AA9" s="7" t="s">
        <v>0</v>
      </c>
      <c r="AB9" s="6" t="s">
        <v>3</v>
      </c>
      <c r="AC9" s="7" t="s">
        <v>3</v>
      </c>
      <c r="AD9" s="7" t="s">
        <v>3</v>
      </c>
      <c r="AE9" s="7" t="s">
        <v>3</v>
      </c>
      <c r="AF9" s="7" t="s">
        <v>3</v>
      </c>
      <c r="AG9" s="6" t="s">
        <v>3</v>
      </c>
      <c r="AH9" s="6" t="s">
        <v>0</v>
      </c>
      <c r="AI9" s="7" t="s">
        <v>3</v>
      </c>
      <c r="AJ9" s="7" t="s">
        <v>3</v>
      </c>
      <c r="AK9" s="37" t="s">
        <v>3</v>
      </c>
    </row>
    <row r="10" spans="1:37" ht="43.8" thickBot="1" x14ac:dyDescent="0.35">
      <c r="A10" s="4" t="s">
        <v>19</v>
      </c>
      <c r="B10" s="10" t="s">
        <v>0</v>
      </c>
      <c r="C10" s="6" t="s">
        <v>0</v>
      </c>
      <c r="D10" s="7" t="s">
        <v>0</v>
      </c>
      <c r="E10" s="6" t="s">
        <v>0</v>
      </c>
      <c r="F10" s="24" t="s">
        <v>2</v>
      </c>
      <c r="G10" s="27" t="s">
        <v>0</v>
      </c>
      <c r="H10" s="7" t="s">
        <v>0</v>
      </c>
      <c r="I10" s="6" t="s">
        <v>0</v>
      </c>
      <c r="J10" s="7" t="s">
        <v>3</v>
      </c>
      <c r="K10" s="6" t="s">
        <v>0</v>
      </c>
      <c r="L10" s="7" t="s">
        <v>0</v>
      </c>
      <c r="M10" s="6" t="s">
        <v>0</v>
      </c>
      <c r="N10" s="7" t="s">
        <v>0</v>
      </c>
      <c r="O10" s="28" t="s">
        <v>3</v>
      </c>
      <c r="P10" s="27" t="s">
        <v>2</v>
      </c>
      <c r="Q10" s="28" t="s">
        <v>0</v>
      </c>
      <c r="S10" s="4" t="s">
        <v>52</v>
      </c>
      <c r="T10" s="10" t="s">
        <v>3</v>
      </c>
      <c r="U10" s="6" t="s">
        <v>3</v>
      </c>
      <c r="V10" s="7" t="s">
        <v>1</v>
      </c>
      <c r="W10" s="6" t="s">
        <v>1</v>
      </c>
      <c r="X10" s="31" t="s">
        <v>3</v>
      </c>
      <c r="Y10" s="29" t="s">
        <v>0</v>
      </c>
      <c r="Z10" s="39" t="s">
        <v>0</v>
      </c>
      <c r="AA10" s="40" t="s">
        <v>0</v>
      </c>
      <c r="AB10" s="39" t="s">
        <v>3</v>
      </c>
      <c r="AC10" s="40" t="s">
        <v>3</v>
      </c>
      <c r="AD10" s="40" t="s">
        <v>3</v>
      </c>
      <c r="AE10" s="40" t="s">
        <v>3</v>
      </c>
      <c r="AF10" s="40" t="s">
        <v>3</v>
      </c>
      <c r="AG10" s="39" t="s">
        <v>3</v>
      </c>
      <c r="AH10" s="39" t="s">
        <v>0</v>
      </c>
      <c r="AI10" s="40" t="s">
        <v>3</v>
      </c>
      <c r="AJ10" s="40" t="s">
        <v>3</v>
      </c>
      <c r="AK10" s="30" t="s">
        <v>3</v>
      </c>
    </row>
    <row r="11" spans="1:37" ht="43.8" thickBot="1" x14ac:dyDescent="0.35">
      <c r="A11" s="4" t="s">
        <v>22</v>
      </c>
      <c r="B11" s="10" t="s">
        <v>0</v>
      </c>
      <c r="C11" s="6" t="s">
        <v>0</v>
      </c>
      <c r="D11" s="7" t="s">
        <v>0</v>
      </c>
      <c r="E11" s="6" t="s">
        <v>0</v>
      </c>
      <c r="F11" s="24" t="s">
        <v>3</v>
      </c>
      <c r="G11" s="27" t="s">
        <v>0</v>
      </c>
      <c r="H11" s="7" t="s">
        <v>0</v>
      </c>
      <c r="I11" s="6" t="s">
        <v>0</v>
      </c>
      <c r="J11" s="7" t="s">
        <v>3</v>
      </c>
      <c r="K11" s="6" t="s">
        <v>0</v>
      </c>
      <c r="L11" s="7" t="s">
        <v>0</v>
      </c>
      <c r="M11" s="6" t="s">
        <v>0</v>
      </c>
      <c r="N11" s="7" t="s">
        <v>0</v>
      </c>
      <c r="O11" s="37" t="s">
        <v>3</v>
      </c>
      <c r="P11" s="27" t="s">
        <v>0</v>
      </c>
      <c r="Q11" s="28" t="s">
        <v>0</v>
      </c>
      <c r="S11" s="41" t="s">
        <v>80</v>
      </c>
      <c r="T11" s="42">
        <f t="shared" ref="T11:AG11" si="0">COUNTIF(T8:T10,"Approved")+COUNTIF(T8:T10,"Under Review")+COUNTIF(T8:T10,"Resubmit")</f>
        <v>0</v>
      </c>
      <c r="U11" s="42">
        <f t="shared" si="0"/>
        <v>0</v>
      </c>
      <c r="V11" s="42">
        <f t="shared" si="0"/>
        <v>2</v>
      </c>
      <c r="W11" s="42">
        <f t="shared" si="0"/>
        <v>3</v>
      </c>
      <c r="X11" s="42">
        <f t="shared" si="0"/>
        <v>0</v>
      </c>
      <c r="Y11" s="49">
        <f t="shared" si="0"/>
        <v>3</v>
      </c>
      <c r="Z11" s="49">
        <f t="shared" si="0"/>
        <v>3</v>
      </c>
      <c r="AA11" s="49">
        <f t="shared" si="0"/>
        <v>3</v>
      </c>
      <c r="AB11" s="49">
        <f t="shared" si="0"/>
        <v>1</v>
      </c>
      <c r="AC11" s="49">
        <f t="shared" si="0"/>
        <v>0</v>
      </c>
      <c r="AD11" s="49">
        <f t="shared" si="0"/>
        <v>0</v>
      </c>
      <c r="AE11" s="49">
        <f t="shared" si="0"/>
        <v>0</v>
      </c>
      <c r="AF11" s="49">
        <f t="shared" si="0"/>
        <v>0</v>
      </c>
      <c r="AG11" s="49">
        <f t="shared" si="0"/>
        <v>1</v>
      </c>
      <c r="AH11" s="49">
        <f t="shared" ref="AH11:AK11" si="1">COUNTIF(AH8:AH10,"Approved")+COUNTIF(AH8:AH10,"Under Review")+COUNTIF(AH8:AH10,"Resubmit")</f>
        <v>3</v>
      </c>
      <c r="AI11" s="49">
        <f t="shared" si="1"/>
        <v>0</v>
      </c>
      <c r="AJ11" s="49">
        <f t="shared" si="1"/>
        <v>0</v>
      </c>
      <c r="AK11" s="49">
        <f t="shared" si="1"/>
        <v>1</v>
      </c>
    </row>
    <row r="12" spans="1:37" ht="43.8" thickBot="1" x14ac:dyDescent="0.35">
      <c r="A12" s="4" t="s">
        <v>23</v>
      </c>
      <c r="B12" s="10" t="s">
        <v>0</v>
      </c>
      <c r="C12" s="7" t="s">
        <v>0</v>
      </c>
      <c r="D12" s="6" t="s">
        <v>0</v>
      </c>
      <c r="E12" s="7" t="s">
        <v>0</v>
      </c>
      <c r="F12" s="23" t="s">
        <v>3</v>
      </c>
      <c r="G12" s="27" t="s">
        <v>0</v>
      </c>
      <c r="H12" s="7" t="s">
        <v>0</v>
      </c>
      <c r="I12" s="6" t="s">
        <v>0</v>
      </c>
      <c r="J12" s="7" t="s">
        <v>0</v>
      </c>
      <c r="K12" s="6" t="s">
        <v>0</v>
      </c>
      <c r="L12" s="7" t="s">
        <v>0</v>
      </c>
      <c r="M12" s="6" t="s">
        <v>0</v>
      </c>
      <c r="N12" s="7" t="s">
        <v>0</v>
      </c>
      <c r="O12" s="28" t="s">
        <v>3</v>
      </c>
      <c r="P12" s="27" t="s">
        <v>2</v>
      </c>
      <c r="Q12" s="28" t="s">
        <v>0</v>
      </c>
      <c r="S12" s="46" t="s">
        <v>81</v>
      </c>
      <c r="T12" s="43">
        <f>3-T11</f>
        <v>3</v>
      </c>
      <c r="U12" s="43">
        <f t="shared" ref="U12:Y12" si="2">3-U11</f>
        <v>3</v>
      </c>
      <c r="V12" s="43">
        <f t="shared" si="2"/>
        <v>1</v>
      </c>
      <c r="W12" s="43">
        <f t="shared" si="2"/>
        <v>0</v>
      </c>
      <c r="X12" s="43">
        <f t="shared" si="2"/>
        <v>3</v>
      </c>
      <c r="Y12" s="43">
        <f t="shared" si="2"/>
        <v>0</v>
      </c>
      <c r="Z12" s="43">
        <f t="shared" ref="Z12" si="3">3-Z11</f>
        <v>0</v>
      </c>
      <c r="AA12" s="43">
        <f t="shared" ref="AA12" si="4">3-AA11</f>
        <v>0</v>
      </c>
      <c r="AB12" s="43">
        <f t="shared" ref="AB12" si="5">3-AB11</f>
        <v>2</v>
      </c>
      <c r="AC12" s="43">
        <f t="shared" ref="AC12:AD12" si="6">3-AC11</f>
        <v>3</v>
      </c>
      <c r="AD12" s="43">
        <f t="shared" si="6"/>
        <v>3</v>
      </c>
      <c r="AE12" s="43">
        <f t="shared" ref="AE12" si="7">3-AE11</f>
        <v>3</v>
      </c>
      <c r="AF12" s="43">
        <f t="shared" ref="AF12" si="8">3-AF11</f>
        <v>3</v>
      </c>
      <c r="AG12" s="43">
        <f t="shared" ref="AG12" si="9">3-AG11</f>
        <v>2</v>
      </c>
      <c r="AH12" s="43">
        <f t="shared" ref="AH12:AI12" si="10">3-AH11</f>
        <v>0</v>
      </c>
      <c r="AI12" s="43">
        <f t="shared" si="10"/>
        <v>3</v>
      </c>
      <c r="AJ12" s="43">
        <f t="shared" ref="AJ12" si="11">3-AJ11</f>
        <v>3</v>
      </c>
      <c r="AK12" s="43">
        <f t="shared" ref="AK12" si="12">3-AK11</f>
        <v>2</v>
      </c>
    </row>
    <row r="13" spans="1:37" ht="43.2" x14ac:dyDescent="0.3">
      <c r="A13" s="4" t="s">
        <v>24</v>
      </c>
      <c r="B13" s="10" t="s">
        <v>0</v>
      </c>
      <c r="C13" s="7" t="s">
        <v>0</v>
      </c>
      <c r="D13" s="7" t="s">
        <v>0</v>
      </c>
      <c r="E13" s="6" t="s">
        <v>2</v>
      </c>
      <c r="F13" s="6" t="s">
        <v>0</v>
      </c>
      <c r="G13" s="27" t="s">
        <v>0</v>
      </c>
      <c r="H13" s="7" t="s">
        <v>0</v>
      </c>
      <c r="I13" s="7" t="s">
        <v>0</v>
      </c>
      <c r="J13" s="6" t="s">
        <v>3</v>
      </c>
      <c r="K13" s="6" t="s">
        <v>0</v>
      </c>
      <c r="L13" s="7" t="s">
        <v>0</v>
      </c>
      <c r="M13" s="6" t="s">
        <v>0</v>
      </c>
      <c r="N13" s="7" t="s">
        <v>0</v>
      </c>
      <c r="O13" s="28" t="s">
        <v>3</v>
      </c>
      <c r="P13" s="27" t="s">
        <v>2</v>
      </c>
      <c r="Q13" s="28" t="s">
        <v>3</v>
      </c>
    </row>
    <row r="14" spans="1:37" ht="43.2" x14ac:dyDescent="0.3">
      <c r="A14" s="4" t="s">
        <v>25</v>
      </c>
      <c r="B14" s="10" t="s">
        <v>0</v>
      </c>
      <c r="C14" s="7" t="s">
        <v>0</v>
      </c>
      <c r="D14" s="7" t="s">
        <v>0</v>
      </c>
      <c r="E14" s="6" t="s">
        <v>0</v>
      </c>
      <c r="F14" s="24" t="s">
        <v>3</v>
      </c>
      <c r="G14" s="27" t="s">
        <v>0</v>
      </c>
      <c r="H14" s="7" t="s">
        <v>0</v>
      </c>
      <c r="I14" s="7" t="s">
        <v>0</v>
      </c>
      <c r="J14" s="6" t="s">
        <v>0</v>
      </c>
      <c r="K14" s="6" t="s">
        <v>0</v>
      </c>
      <c r="L14" s="7" t="s">
        <v>0</v>
      </c>
      <c r="M14" s="6" t="s">
        <v>2</v>
      </c>
      <c r="N14" s="7" t="s">
        <v>2</v>
      </c>
      <c r="O14" s="28" t="s">
        <v>3</v>
      </c>
      <c r="P14" s="27" t="s">
        <v>2</v>
      </c>
      <c r="Q14" s="28" t="s">
        <v>3</v>
      </c>
    </row>
    <row r="15" spans="1:37" ht="43.2" x14ac:dyDescent="0.3">
      <c r="A15" s="4" t="s">
        <v>26</v>
      </c>
      <c r="B15" s="10" t="s">
        <v>0</v>
      </c>
      <c r="C15" s="6" t="s">
        <v>0</v>
      </c>
      <c r="D15" s="7" t="s">
        <v>0</v>
      </c>
      <c r="E15" s="6" t="s">
        <v>0</v>
      </c>
      <c r="F15" s="24" t="s">
        <v>3</v>
      </c>
      <c r="G15" s="27" t="s">
        <v>0</v>
      </c>
      <c r="H15" s="7" t="s">
        <v>0</v>
      </c>
      <c r="I15" s="6" t="s">
        <v>0</v>
      </c>
      <c r="J15" s="7" t="s">
        <v>3</v>
      </c>
      <c r="K15" s="6" t="s">
        <v>0</v>
      </c>
      <c r="L15" s="7" t="s">
        <v>0</v>
      </c>
      <c r="M15" s="6" t="s">
        <v>0</v>
      </c>
      <c r="N15" s="7" t="s">
        <v>0</v>
      </c>
      <c r="O15" s="28" t="s">
        <v>3</v>
      </c>
      <c r="P15" s="27" t="s">
        <v>2</v>
      </c>
      <c r="Q15" s="28" t="s">
        <v>0</v>
      </c>
    </row>
    <row r="16" spans="1:37" ht="43.2" x14ac:dyDescent="0.3">
      <c r="A16" s="4" t="s">
        <v>27</v>
      </c>
      <c r="B16" s="10" t="s">
        <v>0</v>
      </c>
      <c r="C16" s="6" t="s">
        <v>0</v>
      </c>
      <c r="D16" s="7" t="s">
        <v>0</v>
      </c>
      <c r="E16" s="6" t="s">
        <v>0</v>
      </c>
      <c r="F16" s="23" t="s">
        <v>3</v>
      </c>
      <c r="G16" s="38" t="s">
        <v>0</v>
      </c>
      <c r="H16" s="6" t="s">
        <v>0</v>
      </c>
      <c r="I16" s="7" t="s">
        <v>0</v>
      </c>
      <c r="J16" s="6" t="s">
        <v>3</v>
      </c>
      <c r="K16" s="7" t="s">
        <v>0</v>
      </c>
      <c r="L16" s="6" t="s">
        <v>0</v>
      </c>
      <c r="M16" s="7" t="s">
        <v>2</v>
      </c>
      <c r="N16" s="7" t="s">
        <v>0</v>
      </c>
      <c r="O16" s="28" t="s">
        <v>3</v>
      </c>
      <c r="P16" s="27" t="s">
        <v>2</v>
      </c>
      <c r="Q16" s="28" t="s">
        <v>1</v>
      </c>
    </row>
    <row r="17" spans="1:17" ht="43.8" thickBot="1" x14ac:dyDescent="0.35">
      <c r="A17" s="5" t="s">
        <v>28</v>
      </c>
      <c r="B17" s="10" t="s">
        <v>0</v>
      </c>
      <c r="C17" s="6" t="s">
        <v>0</v>
      </c>
      <c r="D17" s="7" t="s">
        <v>0</v>
      </c>
      <c r="E17" s="6" t="s">
        <v>0</v>
      </c>
      <c r="F17" s="24" t="s">
        <v>3</v>
      </c>
      <c r="G17" s="27" t="s">
        <v>0</v>
      </c>
      <c r="H17" s="7" t="s">
        <v>0</v>
      </c>
      <c r="I17" s="6" t="s">
        <v>0</v>
      </c>
      <c r="J17" s="6" t="s">
        <v>0</v>
      </c>
      <c r="K17" s="6" t="s">
        <v>0</v>
      </c>
      <c r="L17" s="7" t="s">
        <v>0</v>
      </c>
      <c r="M17" s="6" t="s">
        <v>0</v>
      </c>
      <c r="N17" s="7" t="s">
        <v>0</v>
      </c>
      <c r="O17" s="28" t="s">
        <v>3</v>
      </c>
      <c r="P17" s="27" t="s">
        <v>2</v>
      </c>
      <c r="Q17" s="28" t="s">
        <v>0</v>
      </c>
    </row>
    <row r="18" spans="1:17" ht="43.2" x14ac:dyDescent="0.3">
      <c r="A18" s="3" t="s">
        <v>29</v>
      </c>
      <c r="B18" s="10" t="s">
        <v>0</v>
      </c>
      <c r="C18" s="6" t="s">
        <v>0</v>
      </c>
      <c r="D18" s="7" t="s">
        <v>0</v>
      </c>
      <c r="E18" s="6" t="s">
        <v>0</v>
      </c>
      <c r="F18" s="23" t="s">
        <v>3</v>
      </c>
      <c r="G18" s="38" t="s">
        <v>0</v>
      </c>
      <c r="H18" s="6" t="s">
        <v>0</v>
      </c>
      <c r="I18" s="7" t="s">
        <v>0</v>
      </c>
      <c r="J18" s="6" t="s">
        <v>3</v>
      </c>
      <c r="K18" s="7" t="s">
        <v>0</v>
      </c>
      <c r="L18" s="6" t="s">
        <v>0</v>
      </c>
      <c r="M18" s="7" t="s">
        <v>0</v>
      </c>
      <c r="N18" s="7" t="s">
        <v>0</v>
      </c>
      <c r="O18" s="37" t="s">
        <v>3</v>
      </c>
      <c r="P18" s="27" t="s">
        <v>2</v>
      </c>
      <c r="Q18" s="28" t="s">
        <v>0</v>
      </c>
    </row>
    <row r="19" spans="1:17" ht="43.2" x14ac:dyDescent="0.3">
      <c r="A19" s="4" t="s">
        <v>30</v>
      </c>
      <c r="B19" s="9" t="s">
        <v>0</v>
      </c>
      <c r="C19" s="7" t="s">
        <v>0</v>
      </c>
      <c r="D19" s="6" t="s">
        <v>0</v>
      </c>
      <c r="E19" s="6" t="s">
        <v>0</v>
      </c>
      <c r="F19" s="23" t="s">
        <v>3</v>
      </c>
      <c r="G19" s="38" t="s">
        <v>0</v>
      </c>
      <c r="H19" s="6" t="s">
        <v>0</v>
      </c>
      <c r="I19" s="7" t="s">
        <v>0</v>
      </c>
      <c r="J19" s="6" t="s">
        <v>3</v>
      </c>
      <c r="K19" s="7" t="s">
        <v>0</v>
      </c>
      <c r="L19" s="6" t="s">
        <v>0</v>
      </c>
      <c r="M19" s="6" t="s">
        <v>0</v>
      </c>
      <c r="N19" s="6" t="s">
        <v>0</v>
      </c>
      <c r="O19" s="37" t="s">
        <v>3</v>
      </c>
      <c r="P19" s="27" t="s">
        <v>2</v>
      </c>
      <c r="Q19" s="28" t="s">
        <v>0</v>
      </c>
    </row>
    <row r="20" spans="1:17" ht="43.2" x14ac:dyDescent="0.3">
      <c r="A20" s="4" t="s">
        <v>31</v>
      </c>
      <c r="B20" s="9" t="s">
        <v>0</v>
      </c>
      <c r="C20" s="7" t="s">
        <v>0</v>
      </c>
      <c r="D20" s="6" t="s">
        <v>0</v>
      </c>
      <c r="E20" s="7" t="s">
        <v>0</v>
      </c>
      <c r="F20" s="24" t="s">
        <v>3</v>
      </c>
      <c r="G20" s="27" t="s">
        <v>0</v>
      </c>
      <c r="H20" s="7" t="s">
        <v>0</v>
      </c>
      <c r="I20" s="6" t="s">
        <v>0</v>
      </c>
      <c r="J20" s="7" t="s">
        <v>3</v>
      </c>
      <c r="K20" s="6" t="s">
        <v>0</v>
      </c>
      <c r="L20" s="7" t="s">
        <v>0</v>
      </c>
      <c r="M20" s="6" t="s">
        <v>0</v>
      </c>
      <c r="N20" s="7" t="s">
        <v>0</v>
      </c>
      <c r="O20" s="28" t="s">
        <v>3</v>
      </c>
      <c r="P20" s="27" t="s">
        <v>2</v>
      </c>
      <c r="Q20" s="28" t="s">
        <v>0</v>
      </c>
    </row>
    <row r="21" spans="1:17" ht="43.2" x14ac:dyDescent="0.3">
      <c r="A21" s="4" t="s">
        <v>32</v>
      </c>
      <c r="B21" s="10" t="s">
        <v>0</v>
      </c>
      <c r="C21" s="6" t="s">
        <v>0</v>
      </c>
      <c r="D21" s="7" t="s">
        <v>0</v>
      </c>
      <c r="E21" s="7" t="s">
        <v>0</v>
      </c>
      <c r="F21" s="24" t="s">
        <v>3</v>
      </c>
      <c r="G21" s="27" t="s">
        <v>0</v>
      </c>
      <c r="H21" s="7" t="s">
        <v>0</v>
      </c>
      <c r="I21" s="6" t="s">
        <v>0</v>
      </c>
      <c r="J21" s="7" t="s">
        <v>2</v>
      </c>
      <c r="K21" s="6" t="s">
        <v>0</v>
      </c>
      <c r="L21" s="7" t="s">
        <v>0</v>
      </c>
      <c r="M21" s="6" t="s">
        <v>0</v>
      </c>
      <c r="N21" s="7" t="s">
        <v>0</v>
      </c>
      <c r="O21" s="28" t="s">
        <v>3</v>
      </c>
      <c r="P21" s="27" t="s">
        <v>2</v>
      </c>
      <c r="Q21" s="28" t="s">
        <v>0</v>
      </c>
    </row>
    <row r="22" spans="1:17" ht="43.2" x14ac:dyDescent="0.3">
      <c r="A22" s="4" t="s">
        <v>33</v>
      </c>
      <c r="B22" s="10" t="s">
        <v>0</v>
      </c>
      <c r="C22" s="6" t="s">
        <v>0</v>
      </c>
      <c r="D22" s="7" t="s">
        <v>0</v>
      </c>
      <c r="E22" s="7" t="s">
        <v>0</v>
      </c>
      <c r="F22" s="23" t="s">
        <v>3</v>
      </c>
      <c r="G22" s="38" t="s">
        <v>0</v>
      </c>
      <c r="H22" s="7" t="s">
        <v>0</v>
      </c>
      <c r="I22" s="7" t="s">
        <v>0</v>
      </c>
      <c r="J22" s="6" t="s">
        <v>3</v>
      </c>
      <c r="K22" s="7" t="s">
        <v>0</v>
      </c>
      <c r="L22" s="7" t="s">
        <v>0</v>
      </c>
      <c r="M22" s="7" t="s">
        <v>3</v>
      </c>
      <c r="N22" s="6" t="s">
        <v>3</v>
      </c>
      <c r="O22" s="37" t="s">
        <v>3</v>
      </c>
      <c r="P22" s="27" t="s">
        <v>2</v>
      </c>
      <c r="Q22" s="28" t="s">
        <v>3</v>
      </c>
    </row>
    <row r="23" spans="1:17" ht="43.2" x14ac:dyDescent="0.3">
      <c r="A23" s="4" t="s">
        <v>34</v>
      </c>
      <c r="B23" s="9" t="s">
        <v>0</v>
      </c>
      <c r="C23" s="7" t="s">
        <v>0</v>
      </c>
      <c r="D23" s="6" t="s">
        <v>0</v>
      </c>
      <c r="E23" s="7" t="s">
        <v>0</v>
      </c>
      <c r="F23" s="23" t="s">
        <v>3</v>
      </c>
      <c r="G23" s="38" t="s">
        <v>0</v>
      </c>
      <c r="H23" s="6" t="s">
        <v>0</v>
      </c>
      <c r="I23" s="7" t="s">
        <v>0</v>
      </c>
      <c r="J23" s="6" t="s">
        <v>0</v>
      </c>
      <c r="K23" s="7" t="s">
        <v>0</v>
      </c>
      <c r="L23" s="6" t="s">
        <v>0</v>
      </c>
      <c r="M23" s="7" t="s">
        <v>2</v>
      </c>
      <c r="N23" s="6" t="s">
        <v>3</v>
      </c>
      <c r="O23" s="37" t="s">
        <v>3</v>
      </c>
      <c r="P23" s="27" t="s">
        <v>2</v>
      </c>
      <c r="Q23" s="28" t="s">
        <v>3</v>
      </c>
    </row>
    <row r="24" spans="1:17" ht="43.2" x14ac:dyDescent="0.3">
      <c r="A24" s="4" t="s">
        <v>35</v>
      </c>
      <c r="B24" s="9" t="s">
        <v>0</v>
      </c>
      <c r="C24" s="7" t="s">
        <v>0</v>
      </c>
      <c r="D24" s="6" t="s">
        <v>0</v>
      </c>
      <c r="E24" s="6" t="s">
        <v>0</v>
      </c>
      <c r="F24" s="23" t="s">
        <v>3</v>
      </c>
      <c r="G24" s="38" t="s">
        <v>0</v>
      </c>
      <c r="H24" s="6" t="s">
        <v>0</v>
      </c>
      <c r="I24" s="7" t="s">
        <v>0</v>
      </c>
      <c r="J24" s="6" t="s">
        <v>3</v>
      </c>
      <c r="K24" s="7" t="s">
        <v>0</v>
      </c>
      <c r="L24" s="6" t="s">
        <v>0</v>
      </c>
      <c r="M24" s="6" t="s">
        <v>0</v>
      </c>
      <c r="N24" s="6" t="s">
        <v>0</v>
      </c>
      <c r="O24" s="28" t="s">
        <v>3</v>
      </c>
      <c r="P24" s="27" t="s">
        <v>2</v>
      </c>
      <c r="Q24" s="28" t="s">
        <v>1</v>
      </c>
    </row>
    <row r="25" spans="1:17" ht="43.2" x14ac:dyDescent="0.3">
      <c r="A25" s="4" t="s">
        <v>36</v>
      </c>
      <c r="B25" s="10" t="s">
        <v>0</v>
      </c>
      <c r="C25" s="6" t="s">
        <v>0</v>
      </c>
      <c r="D25" s="7" t="s">
        <v>0</v>
      </c>
      <c r="E25" s="7" t="s">
        <v>0</v>
      </c>
      <c r="F25" s="23" t="s">
        <v>3</v>
      </c>
      <c r="G25" s="38" t="s">
        <v>0</v>
      </c>
      <c r="H25" s="6" t="s">
        <v>0</v>
      </c>
      <c r="I25" s="7" t="s">
        <v>0</v>
      </c>
      <c r="J25" s="6" t="s">
        <v>3</v>
      </c>
      <c r="K25" s="7" t="s">
        <v>0</v>
      </c>
      <c r="L25" s="6" t="s">
        <v>0</v>
      </c>
      <c r="M25" s="6" t="s">
        <v>0</v>
      </c>
      <c r="N25" s="6" t="s">
        <v>0</v>
      </c>
      <c r="O25" s="37" t="s">
        <v>3</v>
      </c>
      <c r="P25" s="27" t="s">
        <v>2</v>
      </c>
      <c r="Q25" s="28" t="s">
        <v>0</v>
      </c>
    </row>
    <row r="26" spans="1:17" ht="43.2" x14ac:dyDescent="0.3">
      <c r="A26" s="4" t="s">
        <v>37</v>
      </c>
      <c r="B26" s="9" t="s">
        <v>0</v>
      </c>
      <c r="C26" s="7" t="s">
        <v>0</v>
      </c>
      <c r="D26" s="6" t="s">
        <v>0</v>
      </c>
      <c r="E26" s="7" t="s">
        <v>0</v>
      </c>
      <c r="F26" s="23" t="s">
        <v>3</v>
      </c>
      <c r="G26" s="38" t="s">
        <v>0</v>
      </c>
      <c r="H26" s="6" t="s">
        <v>0</v>
      </c>
      <c r="I26" s="7" t="s">
        <v>0</v>
      </c>
      <c r="J26" s="6" t="s">
        <v>3</v>
      </c>
      <c r="K26" s="7" t="s">
        <v>0</v>
      </c>
      <c r="L26" s="6" t="s">
        <v>0</v>
      </c>
      <c r="M26" s="7" t="s">
        <v>0</v>
      </c>
      <c r="N26" s="6" t="s">
        <v>0</v>
      </c>
      <c r="O26" s="37" t="s">
        <v>3</v>
      </c>
      <c r="P26" s="27" t="s">
        <v>2</v>
      </c>
      <c r="Q26" s="28" t="s">
        <v>0</v>
      </c>
    </row>
    <row r="27" spans="1:17" ht="43.8" thickBot="1" x14ac:dyDescent="0.35">
      <c r="A27" s="5" t="s">
        <v>38</v>
      </c>
      <c r="B27" s="9" t="s">
        <v>0</v>
      </c>
      <c r="C27" s="7" t="s">
        <v>0</v>
      </c>
      <c r="D27" s="6" t="s">
        <v>0</v>
      </c>
      <c r="E27" s="6" t="s">
        <v>0</v>
      </c>
      <c r="F27" s="23" t="s">
        <v>3</v>
      </c>
      <c r="G27" s="38" t="s">
        <v>0</v>
      </c>
      <c r="H27" s="6" t="s">
        <v>0</v>
      </c>
      <c r="I27" s="7" t="s">
        <v>0</v>
      </c>
      <c r="J27" s="7" t="s">
        <v>0</v>
      </c>
      <c r="K27" s="7" t="s">
        <v>0</v>
      </c>
      <c r="L27" s="6" t="s">
        <v>0</v>
      </c>
      <c r="M27" s="6" t="s">
        <v>0</v>
      </c>
      <c r="N27" s="7" t="s">
        <v>0</v>
      </c>
      <c r="O27" s="37" t="s">
        <v>3</v>
      </c>
      <c r="P27" s="27" t="s">
        <v>2</v>
      </c>
      <c r="Q27" s="28" t="s">
        <v>1</v>
      </c>
    </row>
    <row r="28" spans="1:17" ht="43.2" x14ac:dyDescent="0.3">
      <c r="A28" s="3" t="s">
        <v>39</v>
      </c>
      <c r="B28" s="9" t="s">
        <v>0</v>
      </c>
      <c r="C28" s="7" t="s">
        <v>0</v>
      </c>
      <c r="D28" s="6" t="s">
        <v>0</v>
      </c>
      <c r="E28" s="6" t="s">
        <v>0</v>
      </c>
      <c r="F28" s="24" t="s">
        <v>3</v>
      </c>
      <c r="G28" s="27" t="s">
        <v>0</v>
      </c>
      <c r="H28" s="7" t="s">
        <v>0</v>
      </c>
      <c r="I28" s="6" t="s">
        <v>0</v>
      </c>
      <c r="J28" s="7" t="s">
        <v>3</v>
      </c>
      <c r="K28" s="6" t="s">
        <v>0</v>
      </c>
      <c r="L28" s="7" t="s">
        <v>0</v>
      </c>
      <c r="M28" s="7" t="s">
        <v>0</v>
      </c>
      <c r="N28" s="7" t="s">
        <v>0</v>
      </c>
      <c r="O28" s="28" t="s">
        <v>3</v>
      </c>
      <c r="P28" s="27" t="s">
        <v>2</v>
      </c>
      <c r="Q28" s="28" t="s">
        <v>0</v>
      </c>
    </row>
    <row r="29" spans="1:17" ht="43.2" x14ac:dyDescent="0.3">
      <c r="A29" s="4" t="s">
        <v>40</v>
      </c>
      <c r="B29" s="10" t="s">
        <v>0</v>
      </c>
      <c r="C29" s="6" t="s">
        <v>0</v>
      </c>
      <c r="D29" s="7" t="s">
        <v>0</v>
      </c>
      <c r="E29" s="7" t="s">
        <v>0</v>
      </c>
      <c r="F29" s="24" t="s">
        <v>3</v>
      </c>
      <c r="G29" s="27" t="s">
        <v>0</v>
      </c>
      <c r="H29" s="7" t="s">
        <v>0</v>
      </c>
      <c r="I29" s="7" t="s">
        <v>0</v>
      </c>
      <c r="J29" s="6" t="s">
        <v>3</v>
      </c>
      <c r="K29" s="7" t="s">
        <v>0</v>
      </c>
      <c r="L29" s="6" t="s">
        <v>0</v>
      </c>
      <c r="M29" s="6" t="s">
        <v>0</v>
      </c>
      <c r="N29" s="7" t="s">
        <v>0</v>
      </c>
      <c r="O29" s="37" t="s">
        <v>3</v>
      </c>
      <c r="P29" s="27" t="s">
        <v>2</v>
      </c>
      <c r="Q29" s="28" t="s">
        <v>2</v>
      </c>
    </row>
    <row r="30" spans="1:17" ht="43.2" x14ac:dyDescent="0.3">
      <c r="A30" s="4" t="s">
        <v>41</v>
      </c>
      <c r="B30" s="9" t="s">
        <v>0</v>
      </c>
      <c r="C30" s="7" t="s">
        <v>0</v>
      </c>
      <c r="D30" s="6" t="s">
        <v>0</v>
      </c>
      <c r="E30" s="7" t="s">
        <v>0</v>
      </c>
      <c r="F30" s="23" t="s">
        <v>3</v>
      </c>
      <c r="G30" s="38" t="s">
        <v>0</v>
      </c>
      <c r="H30" s="6" t="s">
        <v>0</v>
      </c>
      <c r="I30" s="7" t="s">
        <v>0</v>
      </c>
      <c r="J30" s="6" t="s">
        <v>3</v>
      </c>
      <c r="K30" s="7" t="s">
        <v>0</v>
      </c>
      <c r="L30" s="6" t="s">
        <v>0</v>
      </c>
      <c r="M30" s="7" t="s">
        <v>2</v>
      </c>
      <c r="N30" s="7" t="s">
        <v>0</v>
      </c>
      <c r="O30" s="37" t="s">
        <v>3</v>
      </c>
      <c r="P30" s="27" t="s">
        <v>2</v>
      </c>
      <c r="Q30" s="28" t="s">
        <v>3</v>
      </c>
    </row>
    <row r="31" spans="1:17" ht="43.2" x14ac:dyDescent="0.3">
      <c r="A31" s="4" t="s">
        <v>42</v>
      </c>
      <c r="B31" s="9" t="s">
        <v>0</v>
      </c>
      <c r="C31" s="7" t="s">
        <v>0</v>
      </c>
      <c r="D31" s="6" t="s">
        <v>0</v>
      </c>
      <c r="E31" s="6" t="s">
        <v>0</v>
      </c>
      <c r="F31" s="24" t="s">
        <v>3</v>
      </c>
      <c r="G31" s="27" t="s">
        <v>0</v>
      </c>
      <c r="H31" s="7" t="s">
        <v>0</v>
      </c>
      <c r="I31" s="6" t="s">
        <v>0</v>
      </c>
      <c r="J31" s="7" t="s">
        <v>3</v>
      </c>
      <c r="K31" s="6" t="s">
        <v>0</v>
      </c>
      <c r="L31" s="7" t="s">
        <v>0</v>
      </c>
      <c r="M31" s="7" t="s">
        <v>0</v>
      </c>
      <c r="N31" s="7" t="s">
        <v>0</v>
      </c>
      <c r="O31" s="28" t="s">
        <v>3</v>
      </c>
      <c r="P31" s="27" t="s">
        <v>2</v>
      </c>
      <c r="Q31" s="28" t="s">
        <v>2</v>
      </c>
    </row>
    <row r="32" spans="1:17" ht="43.2" x14ac:dyDescent="0.3">
      <c r="A32" s="4" t="s">
        <v>43</v>
      </c>
      <c r="B32" s="10" t="s">
        <v>0</v>
      </c>
      <c r="C32" s="6" t="s">
        <v>0</v>
      </c>
      <c r="D32" s="7" t="s">
        <v>0</v>
      </c>
      <c r="E32" s="7" t="s">
        <v>2</v>
      </c>
      <c r="F32" s="24" t="s">
        <v>3</v>
      </c>
      <c r="G32" s="27" t="s">
        <v>0</v>
      </c>
      <c r="H32" s="7" t="s">
        <v>0</v>
      </c>
      <c r="I32" s="6" t="s">
        <v>0</v>
      </c>
      <c r="J32" s="7" t="s">
        <v>0</v>
      </c>
      <c r="K32" s="6" t="s">
        <v>0</v>
      </c>
      <c r="L32" s="7" t="s">
        <v>0</v>
      </c>
      <c r="M32" s="6" t="s">
        <v>3</v>
      </c>
      <c r="N32" s="7" t="s">
        <v>3</v>
      </c>
      <c r="O32" s="28" t="s">
        <v>3</v>
      </c>
      <c r="P32" s="27" t="s">
        <v>3</v>
      </c>
      <c r="Q32" s="28" t="s">
        <v>3</v>
      </c>
    </row>
    <row r="33" spans="1:17" ht="43.2" x14ac:dyDescent="0.3">
      <c r="A33" s="4" t="s">
        <v>44</v>
      </c>
      <c r="B33" s="10" t="s">
        <v>0</v>
      </c>
      <c r="C33" s="6" t="s">
        <v>0</v>
      </c>
      <c r="D33" s="7" t="s">
        <v>0</v>
      </c>
      <c r="E33" s="7" t="s">
        <v>0</v>
      </c>
      <c r="F33" s="24" t="s">
        <v>3</v>
      </c>
      <c r="G33" s="27" t="s">
        <v>0</v>
      </c>
      <c r="H33" s="7" t="s">
        <v>0</v>
      </c>
      <c r="I33" s="6" t="s">
        <v>0</v>
      </c>
      <c r="J33" s="7" t="s">
        <v>3</v>
      </c>
      <c r="K33" s="6" t="s">
        <v>0</v>
      </c>
      <c r="L33" s="7" t="s">
        <v>0</v>
      </c>
      <c r="M33" s="6" t="s">
        <v>0</v>
      </c>
      <c r="N33" s="7" t="s">
        <v>0</v>
      </c>
      <c r="O33" s="28" t="s">
        <v>3</v>
      </c>
      <c r="P33" s="27" t="s">
        <v>2</v>
      </c>
      <c r="Q33" s="28" t="s">
        <v>1</v>
      </c>
    </row>
    <row r="34" spans="1:17" ht="43.2" x14ac:dyDescent="0.3">
      <c r="A34" s="4" t="s">
        <v>45</v>
      </c>
      <c r="B34" s="10" t="s">
        <v>0</v>
      </c>
      <c r="C34" s="6" t="s">
        <v>0</v>
      </c>
      <c r="D34" s="7" t="s">
        <v>0</v>
      </c>
      <c r="E34" s="7" t="s">
        <v>0</v>
      </c>
      <c r="F34" s="23" t="s">
        <v>3</v>
      </c>
      <c r="G34" s="27" t="s">
        <v>0</v>
      </c>
      <c r="H34" s="6" t="s">
        <v>0</v>
      </c>
      <c r="I34" s="7" t="s">
        <v>0</v>
      </c>
      <c r="J34" s="6" t="s">
        <v>1</v>
      </c>
      <c r="K34" s="6" t="s">
        <v>0</v>
      </c>
      <c r="L34" s="6" t="s">
        <v>0</v>
      </c>
      <c r="M34" s="7" t="s">
        <v>0</v>
      </c>
      <c r="N34" s="7" t="s">
        <v>0</v>
      </c>
      <c r="O34" s="37" t="s">
        <v>3</v>
      </c>
      <c r="P34" s="27" t="s">
        <v>2</v>
      </c>
      <c r="Q34" s="28" t="s">
        <v>2</v>
      </c>
    </row>
    <row r="35" spans="1:17" ht="43.2" x14ac:dyDescent="0.3">
      <c r="A35" s="4" t="s">
        <v>46</v>
      </c>
      <c r="B35" s="9" t="s">
        <v>0</v>
      </c>
      <c r="C35" s="7" t="s">
        <v>0</v>
      </c>
      <c r="D35" s="6" t="s">
        <v>0</v>
      </c>
      <c r="E35" s="7" t="s">
        <v>0</v>
      </c>
      <c r="F35" s="23" t="s">
        <v>3</v>
      </c>
      <c r="G35" s="38" t="s">
        <v>0</v>
      </c>
      <c r="H35" s="6" t="s">
        <v>0</v>
      </c>
      <c r="I35" s="7" t="s">
        <v>0</v>
      </c>
      <c r="J35" s="6" t="s">
        <v>3</v>
      </c>
      <c r="K35" s="7" t="s">
        <v>0</v>
      </c>
      <c r="L35" s="6" t="s">
        <v>0</v>
      </c>
      <c r="M35" s="7" t="s">
        <v>0</v>
      </c>
      <c r="N35" s="7" t="s">
        <v>0</v>
      </c>
      <c r="O35" s="37" t="s">
        <v>3</v>
      </c>
      <c r="P35" s="27" t="s">
        <v>2</v>
      </c>
      <c r="Q35" s="28" t="s">
        <v>0</v>
      </c>
    </row>
    <row r="36" spans="1:17" ht="43.2" x14ac:dyDescent="0.3">
      <c r="A36" s="4" t="s">
        <v>47</v>
      </c>
      <c r="B36" s="9" t="s">
        <v>0</v>
      </c>
      <c r="C36" s="7" t="s">
        <v>0</v>
      </c>
      <c r="D36" s="6" t="s">
        <v>0</v>
      </c>
      <c r="E36" s="7" t="s">
        <v>0</v>
      </c>
      <c r="F36" s="24" t="s">
        <v>3</v>
      </c>
      <c r="G36" s="38" t="s">
        <v>0</v>
      </c>
      <c r="H36" s="7" t="s">
        <v>0</v>
      </c>
      <c r="I36" s="6" t="s">
        <v>0</v>
      </c>
      <c r="J36" s="7" t="s">
        <v>0</v>
      </c>
      <c r="K36" s="6" t="s">
        <v>0</v>
      </c>
      <c r="L36" s="7" t="s">
        <v>0</v>
      </c>
      <c r="M36" s="7" t="s">
        <v>0</v>
      </c>
      <c r="N36" s="7" t="s">
        <v>0</v>
      </c>
      <c r="O36" s="37" t="s">
        <v>3</v>
      </c>
      <c r="P36" s="27" t="s">
        <v>2</v>
      </c>
      <c r="Q36" s="28" t="s">
        <v>0</v>
      </c>
    </row>
    <row r="37" spans="1:17" ht="43.2" x14ac:dyDescent="0.3">
      <c r="A37" s="4" t="s">
        <v>48</v>
      </c>
      <c r="B37" s="9" t="s">
        <v>0</v>
      </c>
      <c r="C37" s="7" t="s">
        <v>0</v>
      </c>
      <c r="D37" s="6" t="s">
        <v>0</v>
      </c>
      <c r="E37" s="7" t="s">
        <v>0</v>
      </c>
      <c r="F37" s="23" t="s">
        <v>3</v>
      </c>
      <c r="G37" s="38" t="s">
        <v>0</v>
      </c>
      <c r="H37" s="6" t="s">
        <v>0</v>
      </c>
      <c r="I37" s="7" t="s">
        <v>0</v>
      </c>
      <c r="J37" s="6" t="s">
        <v>3</v>
      </c>
      <c r="K37" s="7" t="s">
        <v>0</v>
      </c>
      <c r="L37" s="6" t="s">
        <v>0</v>
      </c>
      <c r="M37" s="6" t="s">
        <v>0</v>
      </c>
      <c r="N37" s="7" t="s">
        <v>0</v>
      </c>
      <c r="O37" s="37" t="s">
        <v>3</v>
      </c>
      <c r="P37" s="27" t="s">
        <v>2</v>
      </c>
      <c r="Q37" s="28" t="s">
        <v>2</v>
      </c>
    </row>
    <row r="38" spans="1:17" ht="43.8" thickBot="1" x14ac:dyDescent="0.35">
      <c r="A38" s="5" t="s">
        <v>49</v>
      </c>
      <c r="B38" s="11" t="s">
        <v>0</v>
      </c>
      <c r="C38" s="12" t="s">
        <v>0</v>
      </c>
      <c r="D38" s="13" t="s">
        <v>0</v>
      </c>
      <c r="E38" s="12" t="s">
        <v>0</v>
      </c>
      <c r="F38" s="32" t="s">
        <v>3</v>
      </c>
      <c r="G38" s="29" t="s">
        <v>0</v>
      </c>
      <c r="H38" s="39" t="s">
        <v>0</v>
      </c>
      <c r="I38" s="40" t="s">
        <v>0</v>
      </c>
      <c r="J38" s="39" t="s">
        <v>3</v>
      </c>
      <c r="K38" s="40" t="s">
        <v>0</v>
      </c>
      <c r="L38" s="39" t="s">
        <v>0</v>
      </c>
      <c r="M38" s="40" t="s">
        <v>0</v>
      </c>
      <c r="N38" s="39" t="s">
        <v>0</v>
      </c>
      <c r="O38" s="30" t="s">
        <v>3</v>
      </c>
      <c r="P38" s="29" t="s">
        <v>0</v>
      </c>
      <c r="Q38" s="30" t="s">
        <v>0</v>
      </c>
    </row>
    <row r="39" spans="1:17" ht="30" customHeight="1" thickBot="1" x14ac:dyDescent="0.35">
      <c r="A39" s="41" t="s">
        <v>80</v>
      </c>
      <c r="B39" s="42">
        <f>COUNTIF(B8:B38,"Approved")+COUNTIF(B8:B38,"Under Review")+COUNTIF(B8:B38,"Resubmit")</f>
        <v>31</v>
      </c>
      <c r="C39" s="42">
        <f t="shared" ref="C39:Q39" si="13">COUNTIF(C8:C38,"Approved")+COUNTIF(C8:C38,"Under Review")+COUNTIF(C8:C38,"Resubmit")</f>
        <v>31</v>
      </c>
      <c r="D39" s="42">
        <f t="shared" si="13"/>
        <v>31</v>
      </c>
      <c r="E39" s="42">
        <f t="shared" si="13"/>
        <v>31</v>
      </c>
      <c r="F39" s="42">
        <f t="shared" si="13"/>
        <v>3</v>
      </c>
      <c r="G39" s="42">
        <f t="shared" si="13"/>
        <v>31</v>
      </c>
      <c r="H39" s="42">
        <f t="shared" si="13"/>
        <v>31</v>
      </c>
      <c r="I39" s="42">
        <f t="shared" si="13"/>
        <v>31</v>
      </c>
      <c r="J39" s="42">
        <f t="shared" si="13"/>
        <v>10</v>
      </c>
      <c r="K39" s="42">
        <f t="shared" si="13"/>
        <v>31</v>
      </c>
      <c r="L39" s="42">
        <f t="shared" si="13"/>
        <v>31</v>
      </c>
      <c r="M39" s="42">
        <f t="shared" si="13"/>
        <v>29</v>
      </c>
      <c r="N39" s="42">
        <f t="shared" si="13"/>
        <v>28</v>
      </c>
      <c r="O39" s="42">
        <f t="shared" si="13"/>
        <v>0</v>
      </c>
      <c r="P39" s="42">
        <f t="shared" si="13"/>
        <v>30</v>
      </c>
      <c r="Q39" s="42">
        <f t="shared" si="13"/>
        <v>25</v>
      </c>
    </row>
    <row r="40" spans="1:17" ht="15" thickBot="1" x14ac:dyDescent="0.35">
      <c r="A40" s="46" t="s">
        <v>81</v>
      </c>
      <c r="B40" s="43">
        <f>31-B39</f>
        <v>0</v>
      </c>
      <c r="C40" s="44">
        <f t="shared" ref="C40:Q40" si="14">31-C39</f>
        <v>0</v>
      </c>
      <c r="D40" s="44">
        <f t="shared" si="14"/>
        <v>0</v>
      </c>
      <c r="E40" s="44">
        <f t="shared" si="14"/>
        <v>0</v>
      </c>
      <c r="F40" s="44">
        <f t="shared" si="14"/>
        <v>28</v>
      </c>
      <c r="G40" s="44">
        <f t="shared" si="14"/>
        <v>0</v>
      </c>
      <c r="H40" s="44">
        <f t="shared" si="14"/>
        <v>0</v>
      </c>
      <c r="I40" s="44">
        <f t="shared" si="14"/>
        <v>0</v>
      </c>
      <c r="J40" s="44">
        <f t="shared" si="14"/>
        <v>21</v>
      </c>
      <c r="K40" s="44">
        <f t="shared" si="14"/>
        <v>0</v>
      </c>
      <c r="L40" s="44">
        <f t="shared" si="14"/>
        <v>0</v>
      </c>
      <c r="M40" s="44">
        <f t="shared" si="14"/>
        <v>2</v>
      </c>
      <c r="N40" s="44">
        <f t="shared" si="14"/>
        <v>3</v>
      </c>
      <c r="O40" s="44">
        <f t="shared" si="14"/>
        <v>31</v>
      </c>
      <c r="P40" s="44">
        <f t="shared" si="14"/>
        <v>1</v>
      </c>
      <c r="Q40" s="45">
        <f t="shared" si="14"/>
        <v>6</v>
      </c>
    </row>
  </sheetData>
  <mergeCells count="10">
    <mergeCell ref="E2:I3"/>
    <mergeCell ref="N2:O3"/>
    <mergeCell ref="L2:M3"/>
    <mergeCell ref="T6:X6"/>
    <mergeCell ref="Y6:AK6"/>
    <mergeCell ref="S5:AK5"/>
    <mergeCell ref="P6:Q6"/>
    <mergeCell ref="A5:Q5"/>
    <mergeCell ref="B6:F6"/>
    <mergeCell ref="G6:O6"/>
  </mergeCells>
  <conditionalFormatting sqref="B13:C14">
    <cfRule type="containsText" dxfId="52" priority="445" operator="containsText" text="Approved">
      <formula>NOT(ISERROR(SEARCH("Approved",B13)))</formula>
    </cfRule>
    <cfRule type="containsText" dxfId="51" priority="443" operator="containsText" text="Resubmit">
      <formula>NOT(ISERROR(SEARCH("Resubmit",B13)))</formula>
    </cfRule>
    <cfRule type="containsText" dxfId="50" priority="444" operator="containsText" text="Under Review">
      <formula>NOT(ISERROR(SEARCH("Under Review",B13)))</formula>
    </cfRule>
    <cfRule type="containsText" dxfId="49" priority="442" operator="containsText" text="Not Submitted">
      <formula>NOT(ISERROR(SEARCH("Not Submitted",B13)))</formula>
    </cfRule>
  </conditionalFormatting>
  <conditionalFormatting sqref="B9:F11">
    <cfRule type="containsText" dxfId="48" priority="467" operator="containsText" text="Resubmit">
      <formula>NOT(ISERROR(SEARCH("Resubmit",B9)))</formula>
    </cfRule>
  </conditionalFormatting>
  <conditionalFormatting sqref="B11:F11">
    <cfRule type="containsText" dxfId="47" priority="469" operator="containsText" text="Approved">
      <formula>NOT(ISERROR(SEARCH("Approved",B11)))</formula>
    </cfRule>
    <cfRule type="containsText" dxfId="46" priority="468" operator="containsText" text="Under Review">
      <formula>NOT(ISERROR(SEARCH("Under Review",B11)))</formula>
    </cfRule>
  </conditionalFormatting>
  <conditionalFormatting sqref="B8:K8">
    <cfRule type="containsText" dxfId="45" priority="496" operator="containsText" text="Under Review">
      <formula>NOT(ISERROR(SEARCH("Under Review",B8)))</formula>
    </cfRule>
    <cfRule type="containsText" dxfId="44" priority="495" operator="containsText" text="Resubmit">
      <formula>NOT(ISERROR(SEARCH("Resubmit",B8)))</formula>
    </cfRule>
    <cfRule type="containsText" dxfId="43" priority="497" operator="containsText" text="Approved">
      <formula>NOT(ISERROR(SEARCH("Approved",B8)))</formula>
    </cfRule>
  </conditionalFormatting>
  <conditionalFormatting sqref="B9:K10">
    <cfRule type="containsText" dxfId="42" priority="473" operator="containsText" text="Approved">
      <formula>NOT(ISERROR(SEARCH("Approved",B9)))</formula>
    </cfRule>
    <cfRule type="containsText" dxfId="41" priority="472" operator="containsText" text="Under Review">
      <formula>NOT(ISERROR(SEARCH("Under Review",B9)))</formula>
    </cfRule>
  </conditionalFormatting>
  <conditionalFormatting sqref="B11:M11 L12:M13">
    <cfRule type="containsText" dxfId="40" priority="462" operator="containsText" text="Not Submitted">
      <formula>NOT(ISERROR(SEARCH("Not Submitted",B11)))</formula>
    </cfRule>
  </conditionalFormatting>
  <conditionalFormatting sqref="B8:O10">
    <cfRule type="containsText" dxfId="39" priority="246" operator="containsText" text="Not Submitted">
      <formula>NOT(ISERROR(SEARCH("Not Submitted",B8)))</formula>
    </cfRule>
  </conditionalFormatting>
  <conditionalFormatting sqref="B15:Q38">
    <cfRule type="containsText" dxfId="38" priority="84" operator="containsText" text="Not Submitted">
      <formula>NOT(ISERROR(SEARCH("Not Submitted",B15)))</formula>
    </cfRule>
    <cfRule type="containsText" dxfId="37" priority="85" operator="containsText" text="Resubmit">
      <formula>NOT(ISERROR(SEARCH("Resubmit",B15)))</formula>
    </cfRule>
    <cfRule type="containsText" dxfId="36" priority="86" operator="containsText" text="Under Review">
      <formula>NOT(ISERROR(SEARCH("Under Review",B15)))</formula>
    </cfRule>
    <cfRule type="containsText" dxfId="35" priority="87" operator="containsText" text="Approved">
      <formula>NOT(ISERROR(SEARCH("Approved",B15)))</formula>
    </cfRule>
  </conditionalFormatting>
  <conditionalFormatting sqref="B40:Q40">
    <cfRule type="beginsWith" dxfId="34" priority="79" operator="beginsWith" text="0">
      <formula>LEFT(B40,LEN("0"))="0"</formula>
    </cfRule>
  </conditionalFormatting>
  <conditionalFormatting sqref="D14:N14">
    <cfRule type="containsText" dxfId="33" priority="414" operator="containsText" text="Not Submitted">
      <formula>NOT(ISERROR(SEARCH("Not Submitted",D14)))</formula>
    </cfRule>
    <cfRule type="containsText" dxfId="32" priority="415" operator="containsText" text="Resubmit">
      <formula>NOT(ISERROR(SEARCH("Resubmit",D14)))</formula>
    </cfRule>
    <cfRule type="containsText" dxfId="31" priority="416" operator="containsText" text="Under Review">
      <formula>NOT(ISERROR(SEARCH("Under Review",D14)))</formula>
    </cfRule>
    <cfRule type="containsText" dxfId="30" priority="417" operator="containsText" text="Approved">
      <formula>NOT(ISERROR(SEARCH("Approved",D14)))</formula>
    </cfRule>
  </conditionalFormatting>
  <conditionalFormatting sqref="G9:K10">
    <cfRule type="containsText" dxfId="29" priority="471" operator="containsText" text="Resubmit">
      <formula>NOT(ISERROR(SEARCH("Resubmit",G9)))</formula>
    </cfRule>
  </conditionalFormatting>
  <conditionalFormatting sqref="G11:M11 L12:M13">
    <cfRule type="containsText" dxfId="28" priority="463" operator="containsText" text="Resubmit">
      <formula>NOT(ISERROR(SEARCH("Resubmit",G11)))</formula>
    </cfRule>
    <cfRule type="containsText" dxfId="27" priority="464" operator="containsText" text="Under Review">
      <formula>NOT(ISERROR(SEARCH("Under Review",G11)))</formula>
    </cfRule>
    <cfRule type="containsText" dxfId="26" priority="465" operator="containsText" text="Approved">
      <formula>NOT(ISERROR(SEARCH("Approved",G11)))</formula>
    </cfRule>
  </conditionalFormatting>
  <conditionalFormatting sqref="L8:O10">
    <cfRule type="containsText" dxfId="25" priority="249" operator="containsText" text="Approved">
      <formula>NOT(ISERROR(SEARCH("Approved",L8)))</formula>
    </cfRule>
    <cfRule type="containsText" dxfId="24" priority="247" operator="containsText" text="Resubmit">
      <formula>NOT(ISERROR(SEARCH("Resubmit",L8)))</formula>
    </cfRule>
    <cfRule type="containsText" dxfId="23" priority="248" operator="containsText" text="Under Review">
      <formula>NOT(ISERROR(SEARCH("Under Review",L8)))</formula>
    </cfRule>
  </conditionalFormatting>
  <conditionalFormatting sqref="N11:N13 D13:K13">
    <cfRule type="containsText" dxfId="22" priority="432" operator="containsText" text="Under Review">
      <formula>NOT(ISERROR(SEARCH("Under Review",D11)))</formula>
    </cfRule>
    <cfRule type="containsText" dxfId="21" priority="433" operator="containsText" text="Approved">
      <formula>NOT(ISERROR(SEARCH("Approved",D11)))</formula>
    </cfRule>
    <cfRule type="containsText" dxfId="20" priority="430" operator="containsText" text="Not Submitted">
      <formula>NOT(ISERROR(SEARCH("Not Submitted",D11)))</formula>
    </cfRule>
    <cfRule type="containsText" dxfId="19" priority="431" operator="containsText" text="Resubmit">
      <formula>NOT(ISERROR(SEARCH("Resubmit",D11)))</formula>
    </cfRule>
  </conditionalFormatting>
  <conditionalFormatting sqref="O11:O14 B12:K12">
    <cfRule type="containsText" dxfId="18" priority="446" operator="containsText" text="Not Submitted">
      <formula>NOT(ISERROR(SEARCH("Not Submitted",B11)))</formula>
    </cfRule>
    <cfRule type="containsText" dxfId="17" priority="447" operator="containsText" text="Resubmit">
      <formula>NOT(ISERROR(SEARCH("Resubmit",B11)))</formula>
    </cfRule>
    <cfRule type="containsText" dxfId="16" priority="448" operator="containsText" text="Under Review">
      <formula>NOT(ISERROR(SEARCH("Under Review",B11)))</formula>
    </cfRule>
    <cfRule type="containsText" dxfId="15" priority="449" operator="containsText" text="Approved">
      <formula>NOT(ISERROR(SEARCH("Approved",B11)))</formula>
    </cfRule>
  </conditionalFormatting>
  <conditionalFormatting sqref="P8:Q14">
    <cfRule type="containsText" dxfId="14" priority="80" operator="containsText" text="Not Submitted">
      <formula>NOT(ISERROR(SEARCH("Not Submitted",P8)))</formula>
    </cfRule>
    <cfRule type="containsText" dxfId="13" priority="83" operator="containsText" text="Approved">
      <formula>NOT(ISERROR(SEARCH("Approved",P8)))</formula>
    </cfRule>
    <cfRule type="containsText" dxfId="12" priority="82" operator="containsText" text="Under Review">
      <formula>NOT(ISERROR(SEARCH("Under Review",P8)))</formula>
    </cfRule>
    <cfRule type="containsText" dxfId="11" priority="81" operator="containsText" text="Resubmit">
      <formula>NOT(ISERROR(SEARCH("Resubmit",P8)))</formula>
    </cfRule>
  </conditionalFormatting>
  <conditionalFormatting sqref="T8:AK10">
    <cfRule type="containsText" dxfId="10" priority="7" operator="containsText" text="Approved">
      <formula>NOT(ISERROR(SEARCH("Approved",T8)))</formula>
    </cfRule>
    <cfRule type="containsText" dxfId="9" priority="1" operator="containsText" text="Not Submitted">
      <formula>NOT(ISERROR(SEARCH("Not Submitted",T8)))</formula>
    </cfRule>
    <cfRule type="containsText" dxfId="8" priority="6" operator="containsText" text="Under Review">
      <formula>NOT(ISERROR(SEARCH("Under Review",T8)))</formula>
    </cfRule>
    <cfRule type="containsText" dxfId="7" priority="5" operator="containsText" text="Resubmit">
      <formula>NOT(ISERROR(SEARCH("Resubmit",T8)))</formula>
    </cfRule>
  </conditionalFormatting>
  <conditionalFormatting sqref="T12:AK12">
    <cfRule type="beginsWith" dxfId="6" priority="36" operator="beginsWith" text="0">
      <formula>LEFT(T12,LEN("0"))="0"</formula>
    </cfRule>
  </conditionalFormatting>
  <conditionalFormatting sqref="X9:X10">
    <cfRule type="containsText" dxfId="5" priority="78" operator="containsText" text="Approved">
      <formula>NOT(ISERROR(SEARCH("Approved",X9)))</formula>
    </cfRule>
    <cfRule type="containsText" dxfId="4" priority="77" operator="containsText" text="Under Review">
      <formula>NOT(ISERROR(SEARCH("Under Review",X9)))</formula>
    </cfRule>
    <cfRule type="containsText" dxfId="3" priority="76" operator="containsText" text="Resubmit">
      <formula>NOT(ISERROR(SEARCH("Resubmit",X9)))</formula>
    </cfRule>
  </conditionalFormatting>
  <conditionalFormatting sqref="AD8:AK10">
    <cfRule type="containsText" dxfId="2" priority="2" operator="containsText" text="Resubmit">
      <formula>NOT(ISERROR(SEARCH("Resubmit",AD8)))</formula>
    </cfRule>
    <cfRule type="containsText" dxfId="1" priority="3" operator="containsText" text="Under Review">
      <formula>NOT(ISERROR(SEARCH("Under Review",AD8)))</formula>
    </cfRule>
    <cfRule type="containsText" dxfId="0" priority="4" operator="containsText" text="Approved">
      <formula>NOT(ISERROR(SEARCH("Approved",AD8)))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Youstina Nageh Marcos</dc:creator>
  <cp:keywords/>
  <dc:description/>
  <cp:lastModifiedBy>Mohamed Abdelrahman Eissawi</cp:lastModifiedBy>
  <cp:revision/>
  <dcterms:created xsi:type="dcterms:W3CDTF">2026-06-14T13:31:33Z</dcterms:created>
  <dcterms:modified xsi:type="dcterms:W3CDTF">2026-07-27T05:43:39Z</dcterms:modified>
  <cp:category/>
  <cp:contentStatus/>
</cp:coreProperties>
</file>